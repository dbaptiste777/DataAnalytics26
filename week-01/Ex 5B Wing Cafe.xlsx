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elbaptiste\Downloads\"/>
    </mc:Choice>
  </mc:AlternateContent>
  <xr:revisionPtr revIDLastSave="0" documentId="13_ncr:1_{E1D2D451-D134-4A01-9097-A6D6811DDE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  <sheet name="Sheet1" sheetId="1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<sst xmlns="http://schemas.openxmlformats.org/spreadsheetml/2006/main" count="182" uniqueCount="77">
  <si>
    <t>ID</t>
  </si>
  <si>
    <t>Start time</t>
  </si>
  <si>
    <t>Completion time</t>
  </si>
  <si>
    <t>Email</t>
  </si>
  <si>
    <t>Name</t>
  </si>
  <si>
    <t>Last modified time</t>
  </si>
  <si>
    <t>How would you rate the quality of our wings?</t>
  </si>
  <si>
    <t>Are you familiar with all of our current wing flavors?</t>
  </si>
  <si>
    <t>How fast was the speed of your service?</t>
  </si>
  <si>
    <t>How would you rate the friendliness and professionalism of our staff?</t>
  </si>
  <si>
    <t>Was your order accurate and complete?</t>
  </si>
  <si>
    <t>How clean was the restaurant during your visit?</t>
  </si>
  <si>
    <t>How likely are you to continue doing business with us in the future?</t>
  </si>
  <si>
    <t>Suggest our next wing flavor below!</t>
  </si>
  <si>
    <t>cpalacios@my.yearupunited.org</t>
  </si>
  <si>
    <t>charles palacios</t>
  </si>
  <si>
    <t>Excellent</t>
  </si>
  <si>
    <t>Yes</t>
  </si>
  <si>
    <t>Fast</t>
  </si>
  <si>
    <t>Extremely clean</t>
  </si>
  <si>
    <t>Very likely</t>
  </si>
  <si>
    <t xml:space="preserve">Mango Habanero </t>
  </si>
  <si>
    <t>amartinez3@my.yearupunited.org</t>
  </si>
  <si>
    <t>alondra martinez</t>
  </si>
  <si>
    <t>Slow</t>
  </si>
  <si>
    <t>Average</t>
  </si>
  <si>
    <t>No</t>
  </si>
  <si>
    <t>Somewhat clean</t>
  </si>
  <si>
    <t>Somewhat likely</t>
  </si>
  <si>
    <t>chipotle lime</t>
  </si>
  <si>
    <t>dberhane@my.yearupunited.org</t>
  </si>
  <si>
    <t>danait berhane</t>
  </si>
  <si>
    <t>Good</t>
  </si>
  <si>
    <t xml:space="preserve">buffalo wings </t>
  </si>
  <si>
    <t>lmwembe@my.yearupunited.org</t>
  </si>
  <si>
    <t>lorah mwembe</t>
  </si>
  <si>
    <t>Garlic Parmesan flavor</t>
  </si>
  <si>
    <t>achanthadara@my.yearupunited.org</t>
  </si>
  <si>
    <t>alexus chanthadara</t>
  </si>
  <si>
    <t>Ghost Pepper</t>
  </si>
  <si>
    <t>somer@my.yearupunited.org</t>
  </si>
  <si>
    <t>samia omer</t>
  </si>
  <si>
    <t>N/A</t>
  </si>
  <si>
    <t>callen@my.yearupunited.org</t>
  </si>
  <si>
    <t>corey allen</t>
  </si>
  <si>
    <t>Plutonium isotope 244</t>
  </si>
  <si>
    <t>tzergaw@my.yearupunited.org</t>
  </si>
  <si>
    <t>tihitina zergaw</t>
  </si>
  <si>
    <t xml:space="preserve">Lemon pepper </t>
  </si>
  <si>
    <t>BHambleton@YearUp.org</t>
  </si>
  <si>
    <t>Bess Hambleton</t>
  </si>
  <si>
    <t>Very fast</t>
  </si>
  <si>
    <t>peanut butter and jelly</t>
  </si>
  <si>
    <t>smelgara@my.yearupunited.org</t>
  </si>
  <si>
    <t>smaya melgara</t>
  </si>
  <si>
    <t>Garlic pepper</t>
  </si>
  <si>
    <t>bcollins@my.yearupunited.org</t>
  </si>
  <si>
    <t>blake collins</t>
  </si>
  <si>
    <t>Poor</t>
  </si>
  <si>
    <t>Somewhat not clean</t>
  </si>
  <si>
    <t>Not at all likely</t>
  </si>
  <si>
    <t>???????</t>
  </si>
  <si>
    <t>stana@my.yearupunited.org</t>
  </si>
  <si>
    <t>sonia tana</t>
  </si>
  <si>
    <t>spicy</t>
  </si>
  <si>
    <t>dbaptiste@my.yearupunited.org</t>
  </si>
  <si>
    <t>daniel baptiste</t>
  </si>
  <si>
    <t>Not so likely</t>
  </si>
  <si>
    <t>Peanut butter wings</t>
  </si>
  <si>
    <t>Flamin hot cheetos</t>
  </si>
  <si>
    <t>Neutral</t>
  </si>
  <si>
    <t>Oyster Flavor</t>
  </si>
  <si>
    <t>Buffalo Sauce</t>
  </si>
  <si>
    <t>Time to complete</t>
  </si>
  <si>
    <t>Row Labels</t>
  </si>
  <si>
    <t>Grand Total</t>
  </si>
  <si>
    <t>Count of How would you rate the quality of our wings?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</si>
</sst>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:ss"/>
    <numFmt numFmtId="167" formatCode="m/d/yy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7" fontId="0" fillId="0" borderId="0" xfId="0" applyNumberFormat="1"/>
    <xf numFmtId="4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28" formatCode="mm:ss"/>
    </dxf>
    <dxf>
      <numFmt numFmtId="167" formatCode="m/d/yyyy\ hh:mm:ss"/>
    </dxf>
    <dxf>
      <numFmt numFmtId="167" formatCode="m/d/yyyy\ hh:mm:ss"/>
    </dxf>
    <dxf>
      <numFmt numFmtId="0" formatCode="General"/>
    </dxf>
    <dxf>
      <numFmt numFmtId="28" formatCode="mm:ss"/>
    </dxf>
    <dxf>
      <numFmt numFmtId="167" formatCode="m/d/yyyy\ hh:mm:ss"/>
    </dxf>
    <dxf>
      <numFmt numFmtId="167" formatCode="m/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[Rocko's Wild Wing Cafe(1-16).xlsx]Sheet2!PivotTable1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Average</c:v>
                </c:pt>
                <c:pt idx="1">
                  <c:v>Fast</c:v>
                </c:pt>
                <c:pt idx="2">
                  <c:v>Slow</c:v>
                </c:pt>
                <c:pt idx="3">
                  <c:v>Very fast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E7-49BE-B5F7-0D75044B4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8213167"/>
        <c:axId val="828207887"/>
      </c:barChart>
      <c:catAx>
        <c:axId val="8282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07887"/>
        <c:crosses val="autoZero"/>
        <c:auto val="1"/>
        <c:lblAlgn val="ctr"/>
        <c:lblOffset val="100"/>
        <c:noMultiLvlLbl val="0"/>
      </c:catAx>
      <c:valAx>
        <c:axId val="82820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2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5A028A-789C-650C-2B5A-56997692E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baptiste" refreshedDate="46126.250688888889" createdVersion="8" refreshedVersion="8" minRefreshableVersion="3" recordCount="16" xr:uid="{9D4662A1-98B4-453C-9922-379E1C50957F}">
  <cacheSource type="worksheet">
    <worksheetSource name="Table1"/>
  </cacheSource>
  <cacheFields count="19">
    <cacheField name="ID" numFmtId="0">
      <sharedItems containsSemiMixedTypes="0" containsString="0" containsNumber="1" containsInteger="1" minValue="1" maxValue="16"/>
    </cacheField>
    <cacheField name="Start time" numFmtId="167">
      <sharedItems containsSemiMixedTypes="0" containsNonDate="0" containsDate="1" containsString="0" minDate="2026-04-09T08:39:03" maxDate="2026-04-13T19:04:16" count="16">
        <d v="2026-04-09T08:39:03"/>
        <d v="2026-04-09T08:40:55"/>
        <d v="2026-04-09T08:40:37"/>
        <d v="2026-04-09T08:46:15"/>
        <d v="2026-04-09T08:56:47"/>
        <d v="2026-04-09T10:03:40"/>
        <d v="2026-04-09T10:06:47"/>
        <d v="2026-04-09T12:52:54"/>
        <d v="2026-04-10T05:38:57"/>
        <d v="2026-04-10T08:07:27"/>
        <d v="2026-04-10T09:00:03"/>
        <d v="2026-04-12T20:07:46"/>
        <d v="2026-04-13T18:46:19"/>
        <d v="2026-04-13T19:02:42"/>
        <d v="2026-04-13T19:03:18"/>
        <d v="2026-04-13T19:04:16"/>
      </sharedItems>
      <fieldGroup par="18"/>
    </cacheField>
    <cacheField name="Completion time" numFmtId="167">
      <sharedItems containsSemiMixedTypes="0" containsNonDate="0" containsDate="1" containsString="0" minDate="2026-04-09T08:39:29" maxDate="2026-04-13T19:19:41"/>
    </cacheField>
    <cacheField name="Time to complete" numFmtId="45">
      <sharedItems containsSemiMixedTypes="0" containsNonDate="0" containsDate="1" containsString="0" minDate="1899-12-30T00:00:18" maxDate="1899-12-30T00:16:20"/>
    </cacheField>
    <cacheField name="Email" numFmtId="0">
      <sharedItems/>
    </cacheField>
    <cacheField name="Name" numFmtId="0">
      <sharedItems/>
    </cacheField>
    <cacheField name="Last modified time" numFmtId="164">
      <sharedItems containsNonDate="0" containsString="0" containsBlank="1"/>
    </cacheField>
    <cacheField name="How would you rate the quality of our wings?" numFmtId="0">
      <sharedItems count="4">
        <s v="Excellent"/>
        <s v="Good"/>
        <s v="Poor"/>
        <s v="Average"/>
      </sharedItems>
    </cacheField>
    <cacheField name="Are you familiar with all of our current wing flavors?" numFmtId="0">
      <sharedItems count="2">
        <s v="Yes"/>
        <s v="No"/>
      </sharedItems>
    </cacheField>
    <cacheField name="How fast was the speed of your service?" numFmtId="0">
      <sharedItems count="4">
        <s v="Fast"/>
        <s v="Slow"/>
        <s v="Average"/>
        <s v="Very fast"/>
      </sharedItems>
    </cacheField>
    <cacheField name="How would you rate the friendliness and professionalism of our staff?" numFmtId="0">
      <sharedItems count="4">
        <s v="Excellent"/>
        <s v="Average"/>
        <s v="Good"/>
        <s v="Poor"/>
      </sharedItems>
    </cacheField>
    <cacheField name="Was your order accurate and complete?" numFmtId="0">
      <sharedItems/>
    </cacheField>
    <cacheField name="How clean was the restaurant during your visit?" numFmtId="0">
      <sharedItems count="4">
        <s v="Extremely clean"/>
        <s v="Somewhat clean"/>
        <s v="Somewhat not clean"/>
        <s v="Neutral"/>
      </sharedItems>
    </cacheField>
    <cacheField name="How likely are you to continue doing business with us in the future?" numFmtId="0">
      <sharedItems count="4">
        <s v="Very likely"/>
        <s v="Somewhat likely"/>
        <s v="Not at all likely"/>
        <s v="Not so likely"/>
      </sharedItems>
    </cacheField>
    <cacheField name="Suggest our next wing flavor below!" numFmtId="0">
      <sharedItems count="16">
        <s v="Mango Habanero "/>
        <s v="chipotle lime"/>
        <s v="buffalo wings "/>
        <s v="Garlic Parmesan flavor"/>
        <s v="Ghost Pepper"/>
        <s v="N/A"/>
        <s v="Plutonium isotope 244"/>
        <s v="Lemon pepper "/>
        <s v="peanut butter and jelly"/>
        <s v="Garlic pepper"/>
        <s v="???????"/>
        <s v="spicy"/>
        <s v="Peanut butter wings"/>
        <s v="Flamin hot cheetos"/>
        <s v="Oyster Flavor"/>
        <s v="Buffalo Sauce"/>
      </sharedItems>
    </cacheField>
    <cacheField name="Seconds (Start time)" numFmtId="0" databaseField="0">
      <fieldGroup base="1">
        <rangePr groupBy="seconds" startDate="2026-04-09T08:39:03" endDate="2026-04-13T19:04:16"/>
        <groupItems count="62">
          <s v="&lt;4/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13/2026"/>
        </groupItems>
      </fieldGroup>
    </cacheField>
    <cacheField name="Minutes (Start time)" numFmtId="0" databaseField="0">
      <fieldGroup base="1">
        <rangePr groupBy="minutes" startDate="2026-04-09T08:39:03" endDate="2026-04-13T19:04:16"/>
        <groupItems count="62">
          <s v="&lt;4/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13/2026"/>
        </groupItems>
      </fieldGroup>
    </cacheField>
    <cacheField name="Hours (Start time)" numFmtId="0" databaseField="0">
      <fieldGroup base="1">
        <rangePr groupBy="hours" startDate="2026-04-09T08:39:03" endDate="2026-04-13T19:04:16"/>
        <groupItems count="26">
          <s v="&lt;4/9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4/13/2026"/>
        </groupItems>
      </fieldGroup>
    </cacheField>
    <cacheField name="Days (Start time)" numFmtId="0" databaseField="0">
      <fieldGroup base="1">
        <rangePr groupBy="days" startDate="2026-04-09T08:39:03" endDate="2026-04-13T19:04:16"/>
        <groupItems count="368">
          <s v="&lt;4/9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3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1"/>
    <x v="0"/>
    <d v="2026-04-09T08:39:29"/>
    <d v="1899-12-30T00:00:26"/>
    <s v="cpalacios@my.yearupunited.org"/>
    <s v="charles palacios"/>
    <m/>
    <x v="0"/>
    <x v="0"/>
    <x v="0"/>
    <x v="0"/>
    <s v="Yes"/>
    <x v="0"/>
    <x v="0"/>
    <x v="0"/>
  </r>
  <r>
    <n v="2"/>
    <x v="1"/>
    <d v="2026-04-09T08:41:13"/>
    <d v="1899-12-30T00:00:18"/>
    <s v="amartinez3@my.yearupunited.org"/>
    <s v="alondra martinez"/>
    <m/>
    <x v="0"/>
    <x v="0"/>
    <x v="1"/>
    <x v="1"/>
    <s v="No"/>
    <x v="1"/>
    <x v="1"/>
    <x v="1"/>
  </r>
  <r>
    <n v="3"/>
    <x v="2"/>
    <d v="2026-04-09T08:41:57"/>
    <d v="1899-12-30T00:01:20"/>
    <s v="dberhane@my.yearupunited.org"/>
    <s v="danait berhane"/>
    <m/>
    <x v="1"/>
    <x v="0"/>
    <x v="2"/>
    <x v="2"/>
    <s v="Yes"/>
    <x v="1"/>
    <x v="1"/>
    <x v="2"/>
  </r>
  <r>
    <n v="4"/>
    <x v="3"/>
    <d v="2026-04-09T08:47:59"/>
    <d v="1899-12-30T00:01:44"/>
    <s v="lmwembe@my.yearupunited.org"/>
    <s v="lorah mwembe"/>
    <m/>
    <x v="0"/>
    <x v="1"/>
    <x v="0"/>
    <x v="0"/>
    <s v="Yes"/>
    <x v="0"/>
    <x v="1"/>
    <x v="3"/>
  </r>
  <r>
    <n v="5"/>
    <x v="4"/>
    <d v="2026-04-09T08:57:37"/>
    <d v="1899-12-30T00:00:50"/>
    <s v="achanthadara@my.yearupunited.org"/>
    <s v="alexus chanthadara"/>
    <m/>
    <x v="1"/>
    <x v="0"/>
    <x v="2"/>
    <x v="2"/>
    <s v="Yes"/>
    <x v="1"/>
    <x v="1"/>
    <x v="4"/>
  </r>
  <r>
    <n v="6"/>
    <x v="5"/>
    <d v="2026-04-09T10:04:55"/>
    <d v="1899-12-30T00:01:15"/>
    <s v="somer@my.yearupunited.org"/>
    <s v="samia omer"/>
    <m/>
    <x v="1"/>
    <x v="1"/>
    <x v="0"/>
    <x v="0"/>
    <s v="Yes"/>
    <x v="0"/>
    <x v="0"/>
    <x v="5"/>
  </r>
  <r>
    <n v="7"/>
    <x v="6"/>
    <d v="2026-04-09T10:07:31"/>
    <d v="1899-12-30T00:00:44"/>
    <s v="callen@my.yearupunited.org"/>
    <s v="corey allen"/>
    <m/>
    <x v="0"/>
    <x v="1"/>
    <x v="1"/>
    <x v="1"/>
    <s v="Yes"/>
    <x v="0"/>
    <x v="1"/>
    <x v="6"/>
  </r>
  <r>
    <n v="8"/>
    <x v="7"/>
    <d v="2026-04-09T12:55:59"/>
    <d v="1899-12-30T00:03:05"/>
    <s v="tzergaw@my.yearupunited.org"/>
    <s v="tihitina zergaw"/>
    <m/>
    <x v="1"/>
    <x v="1"/>
    <x v="2"/>
    <x v="2"/>
    <s v="Yes"/>
    <x v="1"/>
    <x v="1"/>
    <x v="7"/>
  </r>
  <r>
    <n v="9"/>
    <x v="8"/>
    <d v="2026-04-10T05:40:25"/>
    <d v="1899-12-30T00:01:28"/>
    <s v="BHambleton@YearUp.org"/>
    <s v="Bess Hambleton"/>
    <m/>
    <x v="0"/>
    <x v="1"/>
    <x v="3"/>
    <x v="0"/>
    <s v="Yes"/>
    <x v="0"/>
    <x v="0"/>
    <x v="8"/>
  </r>
  <r>
    <n v="10"/>
    <x v="9"/>
    <d v="2026-04-10T08:09:19"/>
    <d v="1899-12-30T00:01:52"/>
    <s v="smelgara@my.yearupunited.org"/>
    <s v="smaya melgara"/>
    <m/>
    <x v="0"/>
    <x v="0"/>
    <x v="3"/>
    <x v="0"/>
    <s v="Yes"/>
    <x v="1"/>
    <x v="0"/>
    <x v="9"/>
  </r>
  <r>
    <n v="11"/>
    <x v="10"/>
    <d v="2026-04-10T09:00:36"/>
    <d v="1899-12-30T00:00:33"/>
    <s v="bcollins@my.yearupunited.org"/>
    <s v="blake collins"/>
    <m/>
    <x v="2"/>
    <x v="1"/>
    <x v="1"/>
    <x v="3"/>
    <s v="No"/>
    <x v="2"/>
    <x v="2"/>
    <x v="10"/>
  </r>
  <r>
    <n v="12"/>
    <x v="11"/>
    <d v="2026-04-12T20:08:30"/>
    <d v="1899-12-30T00:00:44"/>
    <s v="stana@my.yearupunited.org"/>
    <s v="sonia tana"/>
    <m/>
    <x v="0"/>
    <x v="0"/>
    <x v="3"/>
    <x v="0"/>
    <s v="Yes"/>
    <x v="0"/>
    <x v="0"/>
    <x v="11"/>
  </r>
  <r>
    <n v="13"/>
    <x v="12"/>
    <d v="2026-04-13T19:02:39"/>
    <d v="1899-12-30T00:16:20"/>
    <s v="dbaptiste@my.yearupunited.org"/>
    <s v="daniel baptiste"/>
    <m/>
    <x v="2"/>
    <x v="1"/>
    <x v="2"/>
    <x v="2"/>
    <s v="No"/>
    <x v="1"/>
    <x v="3"/>
    <x v="12"/>
  </r>
  <r>
    <n v="14"/>
    <x v="13"/>
    <d v="2026-04-13T19:03:15"/>
    <d v="1899-12-30T00:00:33"/>
    <s v="dbaptiste@my.yearupunited.org"/>
    <s v="daniel baptiste"/>
    <m/>
    <x v="3"/>
    <x v="1"/>
    <x v="3"/>
    <x v="3"/>
    <s v="No"/>
    <x v="1"/>
    <x v="1"/>
    <x v="13"/>
  </r>
  <r>
    <n v="15"/>
    <x v="14"/>
    <d v="2026-04-13T19:03:51"/>
    <d v="1899-12-30T00:00:33"/>
    <s v="dbaptiste@my.yearupunited.org"/>
    <s v="daniel baptiste"/>
    <m/>
    <x v="0"/>
    <x v="1"/>
    <x v="0"/>
    <x v="2"/>
    <s v="No"/>
    <x v="3"/>
    <x v="1"/>
    <x v="14"/>
  </r>
  <r>
    <n v="16"/>
    <x v="15"/>
    <d v="2026-04-13T19:19:41"/>
    <d v="1899-12-30T00:15:25"/>
    <s v="dbaptiste@my.yearupunited.org"/>
    <s v="daniel baptiste"/>
    <m/>
    <x v="1"/>
    <x v="1"/>
    <x v="0"/>
    <x v="1"/>
    <s v="No"/>
    <x v="0"/>
    <x v="1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FD09B-4DE5-4146-B576-BD12A4AB979C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9">
    <pivotField showAll="0"/>
    <pivotField numFmtId="167" showAll="0">
      <items count="17">
        <item x="0"/>
        <item x="2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167" showAll="0"/>
    <pivotField numFmtId="45" showAll="0"/>
    <pivotField showAll="0"/>
    <pivotField showAll="0"/>
    <pivotField showAll="0"/>
    <pivotField dataField="1" showAll="0">
      <items count="5">
        <item x="3"/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>
      <items count="17">
        <item x="10"/>
        <item x="15"/>
        <item x="2"/>
        <item x="1"/>
        <item x="13"/>
        <item x="3"/>
        <item x="9"/>
        <item x="4"/>
        <item x="7"/>
        <item x="0"/>
        <item x="5"/>
        <item x="14"/>
        <item x="8"/>
        <item x="12"/>
        <item x="6"/>
        <item x="1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How would you rate the quality of our wings?" fld="7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8" totalsRowCount="1">
  <autoFilter ref="A1:O17" xr:uid="{00000000-0009-0000-0100-000001000000}"/>
  <tableColumns count="15">
    <tableColumn id="1" xr3:uid="{00000000-0010-0000-0000-000001000000}" name="ID" dataDxfId="29" totalsRowDxfId="14"/>
    <tableColumn id="2" xr3:uid="{00000000-0010-0000-0000-000002000000}" name="Start time" dataDxfId="17" totalsRowDxfId="13"/>
    <tableColumn id="3" xr3:uid="{00000000-0010-0000-0000-000003000000}" name="Completion time" dataDxfId="16" totalsRowDxfId="12"/>
    <tableColumn id="16" xr3:uid="{A4482264-80DB-4439-9769-8F03E25D50FA}" name="Time to complete" totalsRowFunction="custom" dataDxfId="15" totalsRowDxfId="11">
      <calculatedColumnFormula>C2-B2</calculatedColumnFormula>
      <totalsRowFormula>AVERAGE(D2:D17)</totalsRowFormula>
    </tableColumn>
    <tableColumn id="4" xr3:uid="{00000000-0010-0000-0000-000004000000}" name="Email" dataDxfId="28" totalsRowDxfId="10"/>
    <tableColumn id="5" xr3:uid="{00000000-0010-0000-0000-000005000000}" name="Name" dataDxfId="27" totalsRowDxfId="9"/>
    <tableColumn id="6" xr3:uid="{00000000-0010-0000-0000-000006000000}" name="Last modified time" dataDxfId="26" totalsRowDxfId="8"/>
    <tableColumn id="7" xr3:uid="{00000000-0010-0000-0000-000007000000}" name="How would you rate the quality of our wings?" dataDxfId="25" totalsRowDxfId="7"/>
    <tableColumn id="8" xr3:uid="{00000000-0010-0000-0000-000008000000}" name="Are you familiar with all of our current wing flavors?" dataDxfId="24" totalsRowDxfId="6"/>
    <tableColumn id="9" xr3:uid="{00000000-0010-0000-0000-000009000000}" name="How fast was the speed of your service?" dataDxfId="23" totalsRowDxfId="5"/>
    <tableColumn id="10" xr3:uid="{00000000-0010-0000-0000-00000A000000}" name="How would you rate the friendliness and professionalism of our staff?" dataDxfId="22" totalsRowDxfId="4"/>
    <tableColumn id="11" xr3:uid="{00000000-0010-0000-0000-00000B000000}" name="Was your order accurate and complete?" dataDxfId="21" totalsRowDxfId="3"/>
    <tableColumn id="12" xr3:uid="{00000000-0010-0000-0000-00000C000000}" name="How clean was the restaurant during your visit?" dataDxfId="20" totalsRowDxfId="2"/>
    <tableColumn id="13" xr3:uid="{00000000-0010-0000-0000-00000D000000}" name="How likely are you to continue doing business with us in the future?" dataDxfId="19" totalsRowDxfId="1"/>
    <tableColumn id="14" xr3:uid="{00000000-0010-0000-0000-00000E000000}" name="Suggest our next wing flavor below!" dataDxfId="18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7C43-064A-441F-93A7-82699F697C31}">
  <dimension ref="A3:B8"/>
  <sheetViews>
    <sheetView tabSelected="1" workbookViewId="0"/>
  </sheetViews>
  <sheetFormatPr defaultRowHeight="14.5" x14ac:dyDescent="0.35"/>
  <cols>
    <col min="1" max="1" width="12.36328125" bestFit="1" customWidth="1"/>
    <col min="2" max="2" width="47.36328125" bestFit="1" customWidth="1"/>
    <col min="3" max="4" width="15.26953125" bestFit="1" customWidth="1"/>
    <col min="5" max="5" width="10.7265625" bestFit="1" customWidth="1"/>
  </cols>
  <sheetData>
    <row r="3" spans="1:2" x14ac:dyDescent="0.35">
      <c r="A3" s="5" t="s">
        <v>74</v>
      </c>
      <c r="B3" t="s">
        <v>76</v>
      </c>
    </row>
    <row r="4" spans="1:2" x14ac:dyDescent="0.35">
      <c r="A4" s="6" t="s">
        <v>25</v>
      </c>
      <c r="B4" s="4">
        <v>4</v>
      </c>
    </row>
    <row r="5" spans="1:2" x14ac:dyDescent="0.35">
      <c r="A5" s="6" t="s">
        <v>18</v>
      </c>
      <c r="B5" s="4">
        <v>5</v>
      </c>
    </row>
    <row r="6" spans="1:2" x14ac:dyDescent="0.35">
      <c r="A6" s="6" t="s">
        <v>24</v>
      </c>
      <c r="B6" s="4">
        <v>3</v>
      </c>
    </row>
    <row r="7" spans="1:2" x14ac:dyDescent="0.35">
      <c r="A7" s="6" t="s">
        <v>51</v>
      </c>
      <c r="B7" s="4">
        <v>4</v>
      </c>
    </row>
    <row r="8" spans="1:2" x14ac:dyDescent="0.35">
      <c r="A8" s="6" t="s">
        <v>75</v>
      </c>
      <c r="B8" s="4">
        <v>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opLeftCell="H1" workbookViewId="0">
      <selection activeCell="A19" sqref="A19"/>
    </sheetView>
  </sheetViews>
  <sheetFormatPr defaultRowHeight="14.5" x14ac:dyDescent="0.35"/>
  <cols>
    <col min="1" max="1" width="20" bestFit="1" customWidth="1"/>
    <col min="2" max="2" width="20" style="2" bestFit="1" customWidth="1"/>
    <col min="3" max="3" width="20" bestFit="1" customWidth="1"/>
    <col min="4" max="4" width="20" customWidth="1"/>
    <col min="5" max="15" width="20" bestFit="1" customWidth="1"/>
    <col min="16" max="16" width="17.81640625" customWidth="1"/>
  </cols>
  <sheetData>
    <row r="1" spans="1:15" x14ac:dyDescent="0.35">
      <c r="A1" t="s">
        <v>0</v>
      </c>
      <c r="B1" s="2" t="s">
        <v>1</v>
      </c>
      <c r="C1" t="s">
        <v>2</v>
      </c>
      <c r="D1" t="s">
        <v>73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1</v>
      </c>
      <c r="B2" s="2">
        <v>46121.3604513889</v>
      </c>
      <c r="C2" s="2">
        <v>46121.360752314802</v>
      </c>
      <c r="D2" s="3">
        <f>C2-B2</f>
        <v>3.0092590168351308E-4</v>
      </c>
      <c r="E2" t="s">
        <v>14</v>
      </c>
      <c r="F2" t="s">
        <v>15</v>
      </c>
      <c r="G2" s="1"/>
      <c r="H2" t="s">
        <v>16</v>
      </c>
      <c r="I2" t="s">
        <v>17</v>
      </c>
      <c r="J2" t="s">
        <v>18</v>
      </c>
      <c r="K2" t="s">
        <v>16</v>
      </c>
      <c r="L2" t="s">
        <v>17</v>
      </c>
      <c r="M2" t="s">
        <v>19</v>
      </c>
      <c r="N2" t="s">
        <v>20</v>
      </c>
      <c r="O2" t="s">
        <v>21</v>
      </c>
    </row>
    <row r="3" spans="1:15" x14ac:dyDescent="0.35">
      <c r="A3">
        <v>2</v>
      </c>
      <c r="B3" s="2">
        <v>46121.361747685201</v>
      </c>
      <c r="C3" s="2">
        <v>46121.361956018503</v>
      </c>
      <c r="D3" s="3">
        <f t="shared" ref="D2:D17" si="0">C3-B3</f>
        <v>2.0833330199820921E-4</v>
      </c>
      <c r="E3" t="s">
        <v>22</v>
      </c>
      <c r="F3" t="s">
        <v>23</v>
      </c>
      <c r="G3" s="1"/>
      <c r="H3" t="s">
        <v>16</v>
      </c>
      <c r="I3" t="s">
        <v>17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35">
      <c r="A4">
        <v>3</v>
      </c>
      <c r="B4" s="2">
        <v>46121.361539351798</v>
      </c>
      <c r="C4" s="2">
        <v>46121.362465277802</v>
      </c>
      <c r="D4" s="3">
        <f t="shared" si="0"/>
        <v>9.2592600412899628E-4</v>
      </c>
      <c r="E4" t="s">
        <v>30</v>
      </c>
      <c r="F4" t="s">
        <v>31</v>
      </c>
      <c r="G4" s="1"/>
      <c r="H4" t="s">
        <v>32</v>
      </c>
      <c r="I4" t="s">
        <v>17</v>
      </c>
      <c r="J4" t="s">
        <v>25</v>
      </c>
      <c r="K4" t="s">
        <v>32</v>
      </c>
      <c r="L4" t="s">
        <v>17</v>
      </c>
      <c r="M4" t="s">
        <v>27</v>
      </c>
      <c r="N4" t="s">
        <v>28</v>
      </c>
      <c r="O4" t="s">
        <v>33</v>
      </c>
    </row>
    <row r="5" spans="1:15" x14ac:dyDescent="0.35">
      <c r="A5">
        <v>4</v>
      </c>
      <c r="B5" s="2">
        <v>46121.365451388898</v>
      </c>
      <c r="C5" s="2">
        <v>46121.366655092599</v>
      </c>
      <c r="D5" s="3">
        <f t="shared" si="0"/>
        <v>1.2037037013215013E-3</v>
      </c>
      <c r="E5" t="s">
        <v>34</v>
      </c>
      <c r="F5" t="s">
        <v>35</v>
      </c>
      <c r="G5" s="1"/>
      <c r="H5" t="s">
        <v>16</v>
      </c>
      <c r="I5" t="s">
        <v>26</v>
      </c>
      <c r="J5" t="s">
        <v>18</v>
      </c>
      <c r="K5" t="s">
        <v>16</v>
      </c>
      <c r="L5" t="s">
        <v>17</v>
      </c>
      <c r="M5" t="s">
        <v>19</v>
      </c>
      <c r="N5" t="s">
        <v>28</v>
      </c>
      <c r="O5" t="s">
        <v>36</v>
      </c>
    </row>
    <row r="6" spans="1:15" x14ac:dyDescent="0.35">
      <c r="A6">
        <v>5</v>
      </c>
      <c r="B6" s="2">
        <v>46121.372766203698</v>
      </c>
      <c r="C6" s="2">
        <v>46121.373344907399</v>
      </c>
      <c r="D6" s="3">
        <f t="shared" si="0"/>
        <v>5.7870370073942468E-4</v>
      </c>
      <c r="E6" t="s">
        <v>37</v>
      </c>
      <c r="F6" t="s">
        <v>38</v>
      </c>
      <c r="G6" s="1"/>
      <c r="H6" t="s">
        <v>32</v>
      </c>
      <c r="I6" t="s">
        <v>17</v>
      </c>
      <c r="J6" t="s">
        <v>25</v>
      </c>
      <c r="K6" t="s">
        <v>32</v>
      </c>
      <c r="L6" t="s">
        <v>17</v>
      </c>
      <c r="M6" t="s">
        <v>27</v>
      </c>
      <c r="N6" t="s">
        <v>28</v>
      </c>
      <c r="O6" t="s">
        <v>39</v>
      </c>
    </row>
    <row r="7" spans="1:15" x14ac:dyDescent="0.35">
      <c r="A7">
        <v>6</v>
      </c>
      <c r="B7" s="2">
        <v>46121.419212963003</v>
      </c>
      <c r="C7" s="2">
        <v>46121.420081018499</v>
      </c>
      <c r="D7" s="3">
        <f t="shared" si="0"/>
        <v>8.6805549653945491E-4</v>
      </c>
      <c r="E7" t="s">
        <v>40</v>
      </c>
      <c r="F7" t="s">
        <v>41</v>
      </c>
      <c r="G7" s="1"/>
      <c r="H7" t="s">
        <v>32</v>
      </c>
      <c r="I7" t="s">
        <v>26</v>
      </c>
      <c r="J7" t="s">
        <v>18</v>
      </c>
      <c r="K7" t="s">
        <v>16</v>
      </c>
      <c r="L7" t="s">
        <v>17</v>
      </c>
      <c r="M7" t="s">
        <v>19</v>
      </c>
      <c r="N7" t="s">
        <v>20</v>
      </c>
      <c r="O7" t="s">
        <v>42</v>
      </c>
    </row>
    <row r="8" spans="1:15" x14ac:dyDescent="0.35">
      <c r="A8">
        <v>7</v>
      </c>
      <c r="B8" s="2">
        <v>46121.4213773148</v>
      </c>
      <c r="C8" s="2">
        <v>46121.421886574099</v>
      </c>
      <c r="D8" s="3">
        <f t="shared" si="0"/>
        <v>5.0925929826917127E-4</v>
      </c>
      <c r="E8" t="s">
        <v>43</v>
      </c>
      <c r="F8" t="s">
        <v>44</v>
      </c>
      <c r="G8" s="1"/>
      <c r="H8" t="s">
        <v>16</v>
      </c>
      <c r="I8" t="s">
        <v>26</v>
      </c>
      <c r="J8" t="s">
        <v>24</v>
      </c>
      <c r="K8" t="s">
        <v>25</v>
      </c>
      <c r="L8" t="s">
        <v>17</v>
      </c>
      <c r="M8" t="s">
        <v>19</v>
      </c>
      <c r="N8" t="s">
        <v>28</v>
      </c>
      <c r="O8" t="s">
        <v>45</v>
      </c>
    </row>
    <row r="9" spans="1:15" x14ac:dyDescent="0.35">
      <c r="A9">
        <v>8</v>
      </c>
      <c r="B9" s="2">
        <v>46121.536736111098</v>
      </c>
      <c r="C9" s="2">
        <v>46121.538877314801</v>
      </c>
      <c r="D9" s="3">
        <f t="shared" si="0"/>
        <v>2.1412037021946162E-3</v>
      </c>
      <c r="E9" t="s">
        <v>46</v>
      </c>
      <c r="F9" t="s">
        <v>47</v>
      </c>
      <c r="G9" s="1"/>
      <c r="H9" t="s">
        <v>32</v>
      </c>
      <c r="I9" t="s">
        <v>26</v>
      </c>
      <c r="J9" t="s">
        <v>25</v>
      </c>
      <c r="K9" t="s">
        <v>32</v>
      </c>
      <c r="L9" t="s">
        <v>17</v>
      </c>
      <c r="M9" t="s">
        <v>27</v>
      </c>
      <c r="N9" t="s">
        <v>28</v>
      </c>
      <c r="O9" t="s">
        <v>48</v>
      </c>
    </row>
    <row r="10" spans="1:15" x14ac:dyDescent="0.35">
      <c r="A10">
        <v>9</v>
      </c>
      <c r="B10" s="2">
        <v>46122.235381944403</v>
      </c>
      <c r="C10" s="2">
        <v>46122.236400463</v>
      </c>
      <c r="D10" s="3">
        <f t="shared" si="0"/>
        <v>1.0185185965383425E-3</v>
      </c>
      <c r="E10" t="s">
        <v>49</v>
      </c>
      <c r="F10" t="s">
        <v>50</v>
      </c>
      <c r="G10" s="1"/>
      <c r="H10" t="s">
        <v>16</v>
      </c>
      <c r="I10" t="s">
        <v>26</v>
      </c>
      <c r="J10" t="s">
        <v>51</v>
      </c>
      <c r="K10" t="s">
        <v>16</v>
      </c>
      <c r="L10" t="s">
        <v>17</v>
      </c>
      <c r="M10" t="s">
        <v>19</v>
      </c>
      <c r="N10" t="s">
        <v>20</v>
      </c>
      <c r="O10" t="s">
        <v>52</v>
      </c>
    </row>
    <row r="11" spans="1:15" x14ac:dyDescent="0.35">
      <c r="A11">
        <v>10</v>
      </c>
      <c r="B11" s="2">
        <v>46122.338506944398</v>
      </c>
      <c r="C11" s="2">
        <v>46122.339803240699</v>
      </c>
      <c r="D11" s="3">
        <f t="shared" si="0"/>
        <v>1.2962963010068052E-3</v>
      </c>
      <c r="E11" t="s">
        <v>53</v>
      </c>
      <c r="F11" t="s">
        <v>54</v>
      </c>
      <c r="G11" s="1"/>
      <c r="H11" t="s">
        <v>16</v>
      </c>
      <c r="I11" t="s">
        <v>17</v>
      </c>
      <c r="J11" t="s">
        <v>51</v>
      </c>
      <c r="K11" t="s">
        <v>16</v>
      </c>
      <c r="L11" t="s">
        <v>17</v>
      </c>
      <c r="M11" t="s">
        <v>27</v>
      </c>
      <c r="N11" t="s">
        <v>20</v>
      </c>
      <c r="O11" t="s">
        <v>55</v>
      </c>
    </row>
    <row r="12" spans="1:15" x14ac:dyDescent="0.35">
      <c r="A12">
        <v>11</v>
      </c>
      <c r="B12" s="2">
        <v>46122.375034722201</v>
      </c>
      <c r="C12" s="2">
        <v>46122.375416666699</v>
      </c>
      <c r="D12" s="3">
        <f t="shared" si="0"/>
        <v>3.819444973487407E-4</v>
      </c>
      <c r="E12" t="s">
        <v>56</v>
      </c>
      <c r="F12" t="s">
        <v>57</v>
      </c>
      <c r="G12" s="1"/>
      <c r="H12" t="s">
        <v>58</v>
      </c>
      <c r="I12" t="s">
        <v>26</v>
      </c>
      <c r="J12" t="s">
        <v>24</v>
      </c>
      <c r="K12" t="s">
        <v>58</v>
      </c>
      <c r="L12" t="s">
        <v>26</v>
      </c>
      <c r="M12" t="s">
        <v>59</v>
      </c>
      <c r="N12" t="s">
        <v>60</v>
      </c>
      <c r="O12" t="s">
        <v>61</v>
      </c>
    </row>
    <row r="13" spans="1:15" x14ac:dyDescent="0.35">
      <c r="A13">
        <v>12</v>
      </c>
      <c r="B13" s="2">
        <v>46124.838726851798</v>
      </c>
      <c r="C13" s="2">
        <v>46124.839236111096</v>
      </c>
      <c r="D13" s="3">
        <f t="shared" si="0"/>
        <v>5.0925929826917127E-4</v>
      </c>
      <c r="E13" t="s">
        <v>62</v>
      </c>
      <c r="F13" t="s">
        <v>63</v>
      </c>
      <c r="G13" s="1"/>
      <c r="H13" t="s">
        <v>16</v>
      </c>
      <c r="I13" t="s">
        <v>17</v>
      </c>
      <c r="J13" t="s">
        <v>51</v>
      </c>
      <c r="K13" t="s">
        <v>16</v>
      </c>
      <c r="L13" t="s">
        <v>17</v>
      </c>
      <c r="M13" t="s">
        <v>19</v>
      </c>
      <c r="N13" t="s">
        <v>20</v>
      </c>
      <c r="O13" t="s">
        <v>64</v>
      </c>
    </row>
    <row r="14" spans="1:15" x14ac:dyDescent="0.35">
      <c r="A14">
        <v>13</v>
      </c>
      <c r="B14" s="2">
        <v>46125.782164351796</v>
      </c>
      <c r="C14" s="2">
        <v>46125.793506944399</v>
      </c>
      <c r="D14" s="3">
        <f t="shared" si="0"/>
        <v>1.1342592602886725E-2</v>
      </c>
      <c r="E14" t="s">
        <v>65</v>
      </c>
      <c r="F14" t="s">
        <v>66</v>
      </c>
      <c r="G14" s="1"/>
      <c r="H14" t="s">
        <v>58</v>
      </c>
      <c r="I14" t="s">
        <v>26</v>
      </c>
      <c r="J14" t="s">
        <v>25</v>
      </c>
      <c r="K14" t="s">
        <v>32</v>
      </c>
      <c r="L14" t="s">
        <v>26</v>
      </c>
      <c r="M14" t="s">
        <v>27</v>
      </c>
      <c r="N14" t="s">
        <v>67</v>
      </c>
      <c r="O14" t="s">
        <v>68</v>
      </c>
    </row>
    <row r="15" spans="1:15" x14ac:dyDescent="0.35">
      <c r="A15">
        <v>14</v>
      </c>
      <c r="B15" s="2">
        <v>46125.793541666702</v>
      </c>
      <c r="C15" s="2">
        <v>46125.793923611098</v>
      </c>
      <c r="D15" s="3">
        <f t="shared" si="0"/>
        <v>3.819443954853341E-4</v>
      </c>
      <c r="E15" t="s">
        <v>65</v>
      </c>
      <c r="F15" t="s">
        <v>66</v>
      </c>
      <c r="G15" s="1"/>
      <c r="H15" t="s">
        <v>25</v>
      </c>
      <c r="I15" t="s">
        <v>26</v>
      </c>
      <c r="J15" t="s">
        <v>51</v>
      </c>
      <c r="K15" t="s">
        <v>58</v>
      </c>
      <c r="L15" t="s">
        <v>26</v>
      </c>
      <c r="M15" t="s">
        <v>27</v>
      </c>
      <c r="N15" t="s">
        <v>28</v>
      </c>
      <c r="O15" t="s">
        <v>69</v>
      </c>
    </row>
    <row r="16" spans="1:15" x14ac:dyDescent="0.35">
      <c r="A16">
        <v>15</v>
      </c>
      <c r="B16" s="2">
        <v>46125.793958333299</v>
      </c>
      <c r="C16" s="2">
        <v>46125.794340277796</v>
      </c>
      <c r="D16" s="3">
        <f t="shared" si="0"/>
        <v>3.819444973487407E-4</v>
      </c>
      <c r="E16" t="s">
        <v>65</v>
      </c>
      <c r="F16" t="s">
        <v>66</v>
      </c>
      <c r="G16" s="1"/>
      <c r="H16" t="s">
        <v>16</v>
      </c>
      <c r="I16" t="s">
        <v>26</v>
      </c>
      <c r="J16" t="s">
        <v>18</v>
      </c>
      <c r="K16" t="s">
        <v>32</v>
      </c>
      <c r="L16" t="s">
        <v>26</v>
      </c>
      <c r="M16" t="s">
        <v>70</v>
      </c>
      <c r="N16" t="s">
        <v>28</v>
      </c>
      <c r="O16" t="s">
        <v>71</v>
      </c>
    </row>
    <row r="17" spans="1:15" x14ac:dyDescent="0.35">
      <c r="A17">
        <v>16</v>
      </c>
      <c r="B17" s="2">
        <v>46125.7946296296</v>
      </c>
      <c r="C17" s="2">
        <v>46125.805335648103</v>
      </c>
      <c r="D17" s="3">
        <f t="shared" si="0"/>
        <v>1.0706018503697123E-2</v>
      </c>
      <c r="E17" t="s">
        <v>65</v>
      </c>
      <c r="F17" t="s">
        <v>66</v>
      </c>
      <c r="G17" s="1"/>
      <c r="H17" t="s">
        <v>32</v>
      </c>
      <c r="I17" t="s">
        <v>26</v>
      </c>
      <c r="J17" t="s">
        <v>18</v>
      </c>
      <c r="K17" t="s">
        <v>25</v>
      </c>
      <c r="L17" t="s">
        <v>26</v>
      </c>
      <c r="M17" t="s">
        <v>19</v>
      </c>
      <c r="N17" t="s">
        <v>28</v>
      </c>
      <c r="O17" t="s">
        <v>72</v>
      </c>
    </row>
    <row r="18" spans="1:15" x14ac:dyDescent="0.35">
      <c r="A18" s="4"/>
      <c r="C18" s="2"/>
      <c r="D18" s="3">
        <f>AVERAGE(D2:D17)</f>
        <v>2.0471643624659919E-3</v>
      </c>
      <c r="E18" s="4"/>
      <c r="F18" s="4"/>
      <c r="G18" s="1"/>
      <c r="H18" s="4"/>
      <c r="I18" s="4"/>
      <c r="J18" s="4"/>
      <c r="K18" s="4"/>
      <c r="L18" s="4"/>
      <c r="M18" s="4"/>
      <c r="N18" s="4"/>
      <c r="O18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baptiste</cp:lastModifiedBy>
  <dcterms:created xsi:type="dcterms:W3CDTF">2026-04-14T12:46:07Z</dcterms:created>
  <dcterms:modified xsi:type="dcterms:W3CDTF">2026-04-14T13:11:36Z</dcterms:modified>
</cp:coreProperties>
</file>